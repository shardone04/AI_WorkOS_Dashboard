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04ef71b05448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f584c67e6224826"/>
    <x:sheet xmlns:r="http://schemas.openxmlformats.org/officeDocument/2006/relationships" name="Shared_Expenses" sheetId="2" r:id="R8aa5c6593b084184"/>
    <x:sheet xmlns:r="http://schemas.openxmlformats.org/officeDocument/2006/relationships" name="Team_Members" sheetId="3" r:id="R77d90b620a424945"/>
    <x:sheet xmlns:r="http://schemas.openxmlformats.org/officeDocument/2006/relationships" name="Calendar_Events" sheetId="4" r:id="R8633afdcc6ec4626"/>
    <x:sheet xmlns:r="http://schemas.openxmlformats.org/officeDocument/2006/relationships" name="Daily_Settlement" sheetId="5" r:id="Rb33df77d924345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1F2937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2D8BA0"/>
      </x:patternFill>
    </x:fill>
    <x:fill>
      <x:patternFill patternType="solid">
        <x:fgColor rgb="FF8CB8A3"/>
      </x:patternFill>
    </x:fill>
    <x:fill>
      <x:patternFill patternType="solid">
        <x:fgColor rgb="FFA899D6"/>
      </x:patternFill>
    </x:fill>
    <x:fill>
      <x:patternFill patternType="solid">
        <x:fgColor rgb="FF263447"/>
      </x:patternFill>
    </x:fill>
    <x:fill>
      <x:patternFill patternType="solid">
        <x:fgColor rgb="FFB7DDE8"/>
      </x:patternFill>
    </x:fill>
    <x:fill>
      <x:patternFill patternType="solid">
        <x:fgColor rgb="FFF0C987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20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0" fillId="7" borderId="0" xfId="0" applyNumberFormat="1" applyFont="1" applyFill="1" applyBorder="1"/>
    <x:xf numFmtId="0" fontId="3" fillId="7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29054460054619" /><Relationship Type="http://schemas.openxmlformats.org/officeDocument/2006/relationships/theme" Target="/xl/theme/theme1.xml" Id="R1b5e374d56584c8d" /><Relationship Type="http://schemas.openxmlformats.org/officeDocument/2006/relationships/sharedStrings" Target="/xl/sharedStrings.xml" Id="R81d7401085ff4adc" /><Relationship Type="http://schemas.openxmlformats.org/officeDocument/2006/relationships/worksheet" Target="/xl/worksheets/sheet1.xml" Id="Rff584c67e6224826" /><Relationship Type="http://schemas.openxmlformats.org/officeDocument/2006/relationships/worksheet" Target="/xl/worksheets/sheet2.xml" Id="R8aa5c6593b084184" /><Relationship Type="http://schemas.openxmlformats.org/officeDocument/2006/relationships/worksheet" Target="/xl/worksheets/sheet3.xml" Id="R77d90b620a424945" /><Relationship Type="http://schemas.openxmlformats.org/officeDocument/2006/relationships/worksheet" Target="/xl/worksheets/sheet4.xml" Id="R8633afdcc6ec4626" /><Relationship Type="http://schemas.openxmlformats.org/officeDocument/2006/relationships/worksheet" Target="/xl/worksheets/sheet5.xml" Id="Rb33df77d9243451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a2ea05955d5449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Expense by Category</a:t>
            </a:r>
          </a:p>
        </c:rich>
      </c:tx>
      <c:overlay val="0"/>
    </c:title>
    <c:autoTitleDeleted val="0"/>
    <c:plotArea>
      <c:layout/>
      <c:doughnutChart>
        <c:ser>
          <c:idx val="0"/>
          <c:order val="0"/>
          <c:tx>
            <c:v>Amount</c:v>
          </c:tx>
          <c:cat>
            <c:strRef>
              <c:f>'Summary'!$A$11:$A$16</c:f>
              <c:strCache>
                <c:ptCount val="0"/>
              </c:strCache>
            </c:strRef>
          </c:cat>
          <c:val>
            <c:numRef>
              <c:f>'Summary'!$B$11:$B$16</c:f>
              <c:numCache>
                <c:formatCode>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doughnutChart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2</xdr:row>
      <xdr:rowOff>0</xdr:rowOff>
    </xdr:from>
    <xdr:to>
      <xdr:col>8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a2ea05955d54492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haredExpensesTable" displayName="SharedExpensesTable" ref="A1:F19" headerRowCount="1">
  <x:tableColumns count="6">
    <x:tableColumn id="1" name="date"/>
    <x:tableColumn id="2" name="category"/>
    <x:tableColumn id="3" name="item"/>
    <x:tableColumn id="4" name="amount"/>
    <x:tableColumn id="5" name="owner"/>
    <x:tableColumn id="6" name="method"/>
  </x:tableColumns>
  <x:tableStyleInfo name="TableStyleMedium4" showRowStripes="1"/>
</x:table>
</file>

<file path=xl/tables/table2.xml><?xml version="1.0" encoding="utf-8"?>
<x:table xmlns:x="http://schemas.openxmlformats.org/spreadsheetml/2006/main" id="2" name="TeamMembersTable" displayName="TeamMembersTable" ref="A1:G11" headerRowCount="1">
  <x:tableColumns count="7">
    <x:tableColumn id="1" name="id"/>
    <x:tableColumn id="2" name="name"/>
    <x:tableColumn id="3" name="role"/>
    <x:tableColumn id="4" name="team"/>
    <x:tableColumn id="5" name="status"/>
    <x:tableColumn id="6" name="email"/>
    <x:tableColumn id="7" name="board_access"/>
  </x:tableColumns>
  <x:tableStyleInfo name="TableStyleMedium4" showRowStripes="1"/>
</x:table>
</file>

<file path=xl/tables/table3.xml><?xml version="1.0" encoding="utf-8"?>
<x:table xmlns:x="http://schemas.openxmlformats.org/spreadsheetml/2006/main" id="3" name="CalendarEventsTable" displayName="CalendarEventsTable" ref="A1:I9" headerRowCount="1">
  <x:tableColumns count="9">
    <x:tableColumn id="1" name="id"/>
    <x:tableColumn id="2" name="date"/>
    <x:tableColumn id="3" name="time"/>
    <x:tableColumn id="4" name="type"/>
    <x:tableColumn id="5" name="title"/>
    <x:tableColumn id="6" name="owner"/>
    <x:tableColumn id="7" name="participants"/>
    <x:tableColumn id="8" name="location"/>
    <x:tableColumn id="9" name="status"/>
  </x:tableColumns>
  <x:tableStyleInfo name="TableStyleMedium4" showRowStripes="1"/>
</x:table>
</file>

<file path=xl/tables/table4.xml><?xml version="1.0" encoding="utf-8"?>
<x:table xmlns:x="http://schemas.openxmlformats.org/spreadsheetml/2006/main" id="4" name="DailySettlementTable" displayName="DailySettlementTable" ref="A1:D15" headerRowCount="1">
  <x:tableColumns count="4">
    <x:tableColumn id="1" name="date"/>
    <x:tableColumn id="2" name="total_amount"/>
    <x:tableColumn id="3" name="row_count"/>
    <x:tableColumn id="4" name="memo"/>
  </x:tableColumns>
  <x:tableStyleInfo name="TableStyleMedium4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8f8f54ba3634ea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8396344891b4a2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25f39076272462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efa9ef8eb01448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2fc4c1d20e541e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.560001373291016" hidden="0" customWidth="1"/>
    <x:col min="2" max="2" width="7.78000020980835" hidden="0" customWidth="1"/>
  </x:cols>
  <x:sheetData>
    <x:row r="1">
      <x:c r="A1" s="9" t="str">
        <x:v>WorkOS AI Demo Data Bundle</x:v>
      </x:c>
    </x:row>
    <x:row r="3">
      <x:c r="A3" s="11" t="str">
        <x:v>Metric</x:v>
      </x:c>
      <x:c r="B3" s="11" t="str">
        <x:v>Value</x:v>
      </x:c>
    </x:row>
    <x:row r="4">
      <x:c r="A4" t="str">
        <x:v>Total Expense</x:v>
      </x:c>
      <x:c r="B4" s="3" t="n">
        <x:f>SUM(Shared_Expenses!D2:D19)</x:f>
        <x:v>2189000</x:v>
      </x:c>
    </x:row>
    <x:row r="5">
      <x:c r="A5" t="str">
        <x:v>Expense Rows</x:v>
      </x:c>
      <x:c r="B5" t="n">
        <x:f>COUNTA(Shared_Expenses!A2:A19)</x:f>
        <x:v>18</x:v>
      </x:c>
    </x:row>
    <x:row r="6">
      <x:c r="A6" t="str">
        <x:v>Team Members</x:v>
      </x:c>
      <x:c r="B6" t="n">
        <x:f>COUNTA(Team_Members!A2:A11)</x:f>
        <x:v>10</x:v>
      </x:c>
    </x:row>
    <x:row r="7">
      <x:c r="A7" t="str">
        <x:v>Calendar Events</x:v>
      </x:c>
      <x:c r="B7" t="n">
        <x:f>COUNTA(Calendar_Events!A2:A9)</x:f>
        <x:v>8</x:v>
      </x:c>
    </x:row>
    <x:row r="10">
      <x:c r="A10" s="11" t="str">
        <x:v>Category</x:v>
      </x:c>
      <x:c r="B10" s="11" t="str">
        <x:v>Amount</x:v>
      </x:c>
    </x:row>
    <x:row r="11">
      <x:c r="A11" t="str">
        <x:v>식비</x:v>
      </x:c>
      <x:c r="B11" s="3" t="n">
        <x:f>SUMIF(Shared_Expenses!B2:B19,A11,Shared_Expenses!D2:D19)</x:f>
        <x:v>566000</x:v>
      </x:c>
    </x:row>
    <x:row r="12">
      <x:c r="A12" t="str">
        <x:v>소모품</x:v>
      </x:c>
      <x:c r="B12" s="3" t="n">
        <x:f>SUMIF(Shared_Expenses!B2:B19,A12,Shared_Expenses!D2:D19)</x:f>
        <x:v>154000</x:v>
      </x:c>
    </x:row>
    <x:row r="13">
      <x:c r="A13" t="str">
        <x:v>교육</x:v>
      </x:c>
      <x:c r="B13" s="3" t="n">
        <x:f>SUMIF(Shared_Expenses!B2:B19,A13,Shared_Expenses!D2:D19)</x:f>
        <x:v>630000</x:v>
      </x:c>
    </x:row>
    <x:row r="14">
      <x:c r="A14" t="str">
        <x:v>자격</x:v>
      </x:c>
      <x:c r="B14" s="3" t="n">
        <x:f>SUMIF(Shared_Expenses!B2:B19,A14,Shared_Expenses!D2:D19)</x:f>
        <x:v>215000</x:v>
      </x:c>
    </x:row>
    <x:row r="15">
      <x:c r="A15" t="str">
        <x:v>교통</x:v>
      </x:c>
      <x:c r="B15" s="3" t="n">
        <x:f>SUMIF(Shared_Expenses!B2:B19,A15,Shared_Expenses!D2:D19)</x:f>
        <x:v>98000</x:v>
      </x:c>
    </x:row>
    <x:row r="16">
      <x:c r="A16" t="str">
        <x:v>클라우드</x:v>
      </x:c>
      <x:c r="B16" s="3" t="n">
        <x:f>SUMIF(Shared_Expenses!B2:B19,A16,Shared_Expenses!D2:D19)</x:f>
        <x:v>526000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08f8f54ba3634ea6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7.329999923706055" hidden="0" customWidth="1"/>
    <x:col min="3" max="3" width="18.219999313354492" hidden="0" customWidth="1"/>
    <x:col min="4" max="4" width="6.440000057220459" hidden="0" customWidth="1"/>
    <x:col min="5" max="5" width="11.890000343322754" hidden="0" customWidth="1"/>
    <x:col min="6" max="6" width="6.440000057220459" hidden="0" customWidth="1"/>
  </x:cols>
  <x:sheetData>
    <x:row r="1">
      <x:c r="A1" s="2" t="str">
        <x:v>date</x:v>
      </x:c>
      <x:c r="B1" s="2" t="str">
        <x:v>category</x:v>
      </x:c>
      <x:c r="C1" s="2" t="str">
        <x:v>item</x:v>
      </x:c>
      <x:c r="D1" s="2" t="str">
        <x:v>amount</x:v>
      </x:c>
      <x:c r="E1" s="2" t="str">
        <x:v>owner</x:v>
      </x:c>
      <x:c r="F1" s="2" t="str">
        <x:v>method</x:v>
      </x:c>
    </x:row>
    <x:row r="2">
      <x:c r="A2" t="str">
        <x:v>2026-05-20</x:v>
      </x:c>
      <x:c r="B2" t="str">
        <x:v>식비</x:v>
      </x:c>
      <x:c r="C2" t="str">
        <x:v>팀 점심 회의</x:v>
      </x:c>
      <x:c r="D2" s="3" t="n">
        <x:v>128000</x:v>
      </x:c>
      <x:c r="E2" t="str">
        <x:v>사지윤</x:v>
      </x:c>
      <x:c r="F2" t="str">
        <x:v>법인카드</x:v>
      </x:c>
    </x:row>
    <x:row r="3">
      <x:c r="A3" t="str">
        <x:v>2026-05-20</x:v>
      </x:c>
      <x:c r="B3" t="str">
        <x:v>소모품</x:v>
      </x:c>
      <x:c r="C3" t="str">
        <x:v>화이트보드 마커</x:v>
      </x:c>
      <x:c r="D3" s="3" t="n">
        <x:v>26000</x:v>
      </x:c>
      <x:c r="E3" t="str">
        <x:v>HR Partner</x:v>
      </x:c>
      <x:c r="F3" t="str">
        <x:v>공동경비</x:v>
      </x:c>
    </x:row>
    <x:row r="4">
      <x:c r="A4" t="str">
        <x:v>2026-05-21</x:v>
      </x:c>
      <x:c r="B4" t="str">
        <x:v>교육</x:v>
      </x:c>
      <x:c r="C4" t="str">
        <x:v>AI 분석 강의 수강권</x:v>
      </x:c>
      <x:c r="D4" s="3" t="n">
        <x:v>180000</x:v>
      </x:c>
      <x:c r="E4" t="str">
        <x:v>김소연</x:v>
      </x:c>
      <x:c r="F4" t="str">
        <x:v>계좌이체</x:v>
      </x:c>
    </x:row>
    <x:row r="5">
      <x:c r="A5" t="str">
        <x:v>2026-05-22</x:v>
      </x:c>
      <x:c r="B5" t="str">
        <x:v>자격</x:v>
      </x:c>
      <x:c r="C5" t="str">
        <x:v>보안 인증 응시료</x:v>
      </x:c>
      <x:c r="D5" s="3" t="n">
        <x:v>95000</x:v>
      </x:c>
      <x:c r="E5" t="str">
        <x:v>이민준</x:v>
      </x:c>
      <x:c r="F5" t="str">
        <x:v>법인카드</x:v>
      </x:c>
    </x:row>
    <x:row r="6">
      <x:c r="A6" t="str">
        <x:v>2026-05-23</x:v>
      </x:c>
      <x:c r="B6" t="str">
        <x:v>교통</x:v>
      </x:c>
      <x:c r="C6" t="str">
        <x:v>고객사 방문 택시</x:v>
      </x:c>
      <x:c r="D6" s="3" t="n">
        <x:v>42000</x:v>
      </x:c>
      <x:c r="E6" t="str">
        <x:v>CS Manager</x:v>
      </x:c>
      <x:c r="F6" t="str">
        <x:v>개인정산</x:v>
      </x:c>
    </x:row>
    <x:row r="7">
      <x:c r="A7" t="str">
        <x:v>2026-05-24</x:v>
      </x:c>
      <x:c r="B7" t="str">
        <x:v>클라우드</x:v>
      </x:c>
      <x:c r="C7" t="str">
        <x:v>테스트 서버 증설</x:v>
      </x:c>
      <x:c r="D7" s="3" t="n">
        <x:v>360000</x:v>
      </x:c>
      <x:c r="E7" t="str">
        <x:v>DevOps Lead</x:v>
      </x:c>
      <x:c r="F7" t="str">
        <x:v>법인카드</x:v>
      </x:c>
    </x:row>
    <x:row r="8">
      <x:c r="A8" t="str">
        <x:v>2026-05-25</x:v>
      </x:c>
      <x:c r="B8" t="str">
        <x:v>식비</x:v>
      </x:c>
      <x:c r="C8" t="str">
        <x:v>배포 야근 식대</x:v>
      </x:c>
      <x:c r="D8" s="3" t="n">
        <x:v>214000</x:v>
      </x:c>
      <x:c r="E8" t="str">
        <x:v>Backend Lead</x:v>
      </x:c>
      <x:c r="F8" t="str">
        <x:v>공동경비</x:v>
      </x:c>
    </x:row>
    <x:row r="9">
      <x:c r="A9" t="str">
        <x:v>2026-05-26</x:v>
      </x:c>
      <x:c r="B9" t="str">
        <x:v>소모품</x:v>
      </x:c>
      <x:c r="C9" t="str">
        <x:v>회의실 케이블 세트</x:v>
      </x:c>
      <x:c r="D9" s="3" t="n">
        <x:v>58000</x:v>
      </x:c>
      <x:c r="E9" t="str">
        <x:v>박재훈</x:v>
      </x:c>
      <x:c r="F9" t="str">
        <x:v>공동경비</x:v>
      </x:c>
    </x:row>
    <x:row r="10">
      <x:c r="A10" t="str">
        <x:v>2026-05-27</x:v>
      </x:c>
      <x:c r="B10" t="str">
        <x:v>교육</x:v>
      </x:c>
      <x:c r="C10" t="str">
        <x:v>데이터 시각화 워크숍</x:v>
      </x:c>
      <x:c r="D10" s="3" t="n">
        <x:v>240000</x:v>
      </x:c>
      <x:c r="E10" t="str">
        <x:v>사지윤</x:v>
      </x:c>
      <x:c r="F10" t="str">
        <x:v>법인카드</x:v>
      </x:c>
    </x:row>
    <x:row r="11">
      <x:c r="A11" t="str">
        <x:v>2026-05-27</x:v>
      </x:c>
      <x:c r="B11" t="str">
        <x:v>식비</x:v>
      </x:c>
      <x:c r="C11" t="str">
        <x:v>PMO 데일리 스탠드업 간식</x:v>
      </x:c>
      <x:c r="D11" s="3" t="n">
        <x:v>48000</x:v>
      </x:c>
      <x:c r="E11" t="str">
        <x:v>김소연</x:v>
      </x:c>
      <x:c r="F11" t="str">
        <x:v>공동경비</x:v>
      </x:c>
    </x:row>
    <x:row r="12">
      <x:c r="A12" t="str">
        <x:v>2026-05-28</x:v>
      </x:c>
      <x:c r="B12" t="str">
        <x:v>클라우드</x:v>
      </x:c>
      <x:c r="C12" t="str">
        <x:v>Railway 테스트 크레딧</x:v>
      </x:c>
      <x:c r="D12" s="3" t="n">
        <x:v>72000</x:v>
      </x:c>
      <x:c r="E12" t="str">
        <x:v>DevOps Lead</x:v>
      </x:c>
      <x:c r="F12" t="str">
        <x:v>법인카드</x:v>
      </x:c>
    </x:row>
    <x:row r="13">
      <x:c r="A13" t="str">
        <x:v>2026-05-28</x:v>
      </x:c>
      <x:c r="B13" t="str">
        <x:v>소모품</x:v>
      </x:c>
      <x:c r="C13" t="str">
        <x:v>회의실 HDMI 허브</x:v>
      </x:c>
      <x:c r="D13" s="3" t="n">
        <x:v>39000</x:v>
      </x:c>
      <x:c r="E13" t="str">
        <x:v>박재훈</x:v>
      </x:c>
      <x:c r="F13" t="str">
        <x:v>공동경비</x:v>
      </x:c>
    </x:row>
    <x:row r="14">
      <x:c r="A14" t="str">
        <x:v>2026-05-29</x:v>
      </x:c>
      <x:c r="B14" t="str">
        <x:v>교통</x:v>
      </x:c>
      <x:c r="C14" t="str">
        <x:v>외부 미팅 왕복 택시</x:v>
      </x:c>
      <x:c r="D14" s="3" t="n">
        <x:v>56000</x:v>
      </x:c>
      <x:c r="E14" t="str">
        <x:v>CS Manager</x:v>
      </x:c>
      <x:c r="F14" t="str">
        <x:v>개인정산</x:v>
      </x:c>
    </x:row>
    <x:row r="15">
      <x:c r="A15" t="str">
        <x:v>2026-05-30</x:v>
      </x:c>
      <x:c r="B15" t="str">
        <x:v>자격</x:v>
      </x:c>
      <x:c r="C15" t="str">
        <x:v>개인정보보호 교육 수료증</x:v>
      </x:c>
      <x:c r="D15" s="3" t="n">
        <x:v>120000</x:v>
      </x:c>
      <x:c r="E15" t="str">
        <x:v>이민준</x:v>
      </x:c>
      <x:c r="F15" t="str">
        <x:v>계좌이체</x:v>
      </x:c>
    </x:row>
    <x:row r="16">
      <x:c r="A16" t="str">
        <x:v>2026-05-31</x:v>
      </x:c>
      <x:c r="B16" t="str">
        <x:v>식비</x:v>
      </x:c>
      <x:c r="C16" t="str">
        <x:v>월말 결산 회의 식대</x:v>
      </x:c>
      <x:c r="D16" s="3" t="n">
        <x:v>176000</x:v>
      </x:c>
      <x:c r="E16" t="str">
        <x:v>Finance Keeper</x:v>
      </x:c>
      <x:c r="F16" t="str">
        <x:v>공동경비</x:v>
      </x:c>
    </x:row>
    <x:row r="17">
      <x:c r="A17" t="str">
        <x:v>2026-06-01</x:v>
      </x:c>
      <x:c r="B17" t="str">
        <x:v>교육</x:v>
      </x:c>
      <x:c r="C17" t="str">
        <x:v>OpenAI API 실습 세션</x:v>
      </x:c>
      <x:c r="D17" s="3" t="n">
        <x:v>210000</x:v>
      </x:c>
      <x:c r="E17" t="str">
        <x:v>김소연</x:v>
      </x:c>
      <x:c r="F17" t="str">
        <x:v>법인카드</x:v>
      </x:c>
    </x:row>
    <x:row r="18">
      <x:c r="A18" t="str">
        <x:v>2026-06-01</x:v>
      </x:c>
      <x:c r="B18" t="str">
        <x:v>클라우드</x:v>
      </x:c>
      <x:c r="C18" t="str">
        <x:v>로그 저장소 증설</x:v>
      </x:c>
      <x:c r="D18" s="3" t="n">
        <x:v>94000</x:v>
      </x:c>
      <x:c r="E18" t="str">
        <x:v>Backend Lead</x:v>
      </x:c>
      <x:c r="F18" t="str">
        <x:v>법인카드</x:v>
      </x:c>
    </x:row>
    <x:row r="19">
      <x:c r="A19" t="str">
        <x:v>2026-06-02</x:v>
      </x:c>
      <x:c r="B19" t="str">
        <x:v>소모품</x:v>
      </x:c>
      <x:c r="C19" t="str">
        <x:v>포스트잇 및 라벨지</x:v>
      </x:c>
      <x:c r="D19" s="3" t="n">
        <x:v>31000</x:v>
      </x:c>
      <x:c r="E19" t="str">
        <x:v>HR Partner</x:v>
      </x:c>
      <x:c r="F19" t="str">
        <x:v>공동경비</x:v>
      </x:c>
    </x:row>
  </x:sheetData>
  <x:pageMargins left="0.7" right="0.7" top="0.75" bottom="0.75" header="0.3" footer="0.3"/>
  <x:tableParts count="1">
    <x:tablePart xmlns:r="http://schemas.openxmlformats.org/officeDocument/2006/relationships" r:id="R48396344891b4a2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78000020980835" hidden="0" customWidth="1"/>
    <x:col min="2" max="2" width="11.890000343322754" hidden="0" customWidth="1"/>
    <x:col min="3" max="3" width="12" hidden="0" customWidth="1"/>
    <x:col min="4" max="4" width="7" hidden="0" customWidth="1"/>
    <x:col min="5" max="5" width="5.329999923706055" hidden="0" customWidth="1"/>
    <x:col min="6" max="6" width="18" hidden="0" customWidth="1"/>
    <x:col min="7" max="7" width="20.110000610351562" hidden="0" customWidth="1"/>
  </x:cols>
  <x:sheetData>
    <x:row r="1">
      <x:c r="A1" s="5" t="str">
        <x:v>id</x:v>
      </x:c>
      <x:c r="B1" s="5" t="str">
        <x:v>name</x:v>
      </x:c>
      <x:c r="C1" s="5" t="str">
        <x:v>role</x:v>
      </x:c>
      <x:c r="D1" s="5" t="str">
        <x:v>team</x:v>
      </x:c>
      <x:c r="E1" s="5" t="str">
        <x:v>status</x:v>
      </x:c>
      <x:c r="F1" s="5" t="str">
        <x:v>email</x:v>
      </x:c>
      <x:c r="G1" s="5" t="str">
        <x:v>board_access</x:v>
      </x:c>
    </x:row>
    <x:row r="2">
      <x:c r="A2" t="str">
        <x:v>admin</x:v>
      </x:c>
      <x:c r="B2" t="str">
        <x:v>사지윤</x:v>
      </x:c>
      <x:c r="C2" t="str">
        <x:v>Ops Manager</x:v>
      </x:c>
      <x:c r="D2" t="str">
        <x:v>PMO</x:v>
      </x:c>
      <x:c r="E2" t="str">
        <x:v>online</x:v>
      </x:c>
      <x:c r="F2" t="str">
        <x:v>sajiyun@example.com</x:v>
      </x:c>
      <x:c r="G2" t="str">
        <x:v>admin</x:v>
      </x:c>
    </x:row>
    <x:row r="3">
      <x:c r="A3" t="str">
        <x:v>soyeon</x:v>
      </x:c>
      <x:c r="B3" t="str">
        <x:v>김소연</x:v>
      </x:c>
      <x:c r="C3" t="str">
        <x:v>Frontend Lead</x:v>
      </x:c>
      <x:c r="D3" t="str">
        <x:v>Frontend</x:v>
      </x:c>
      <x:c r="E3" t="str">
        <x:v>online</x:v>
      </x:c>
      <x:c r="F3" t="str">
        <x:v>soyeon@example.com</x:v>
      </x:c>
      <x:c r="G3" t="str">
        <x:v>projects;kpi;meeting</x:v>
      </x:c>
    </x:row>
    <x:row r="4">
      <x:c r="A4" t="str">
        <x:v>jaehoon</x:v>
      </x:c>
      <x:c r="B4" t="str">
        <x:v>박재훈</x:v>
      </x:c>
      <x:c r="C4" t="str">
        <x:v>Data Engineer</x:v>
      </x:c>
      <x:c r="D4" t="str">
        <x:v>Data</x:v>
      </x:c>
      <x:c r="E4" t="str">
        <x:v>busy</x:v>
      </x:c>
      <x:c r="F4" t="str">
        <x:v>jaehoon@example.com</x:v>
      </x:c>
      <x:c r="G4" t="str">
        <x:v>projects;expenses;meeting</x:v>
      </x:c>
    </x:row>
    <x:row r="5">
      <x:c r="A5" t="str">
        <x:v>minjun</x:v>
      </x:c>
      <x:c r="B5" t="str">
        <x:v>이민준</x:v>
      </x:c>
      <x:c r="C5" t="str">
        <x:v>Security Lead</x:v>
      </x:c>
      <x:c r="D5" t="str">
        <x:v>Security</x:v>
      </x:c>
      <x:c r="E5" t="str">
        <x:v>online</x:v>
      </x:c>
      <x:c r="F5" t="str">
        <x:v>minjun@example.com</x:v>
      </x:c>
      <x:c r="G5" t="str">
        <x:v>risk;admin-review</x:v>
      </x:c>
    </x:row>
    <x:row r="6">
      <x:c r="A6" t="str">
        <x:v>backend</x:v>
      </x:c>
      <x:c r="B6" t="str">
        <x:v>Backend Lead</x:v>
      </x:c>
      <x:c r="C6" t="str">
        <x:v>API Owner</x:v>
      </x:c>
      <x:c r="D6" t="str">
        <x:v>Backend</x:v>
      </x:c>
      <x:c r="E6" t="str">
        <x:v>busy</x:v>
      </x:c>
      <x:c r="F6" t="str">
        <x:v>backend@example.com</x:v>
      </x:c>
      <x:c r="G6" t="str">
        <x:v>projects;risk</x:v>
      </x:c>
    </x:row>
    <x:row r="7">
      <x:c r="A7" t="str">
        <x:v>qa</x:v>
      </x:c>
      <x:c r="B7" t="str">
        <x:v>QA Manager</x:v>
      </x:c>
      <x:c r="C7" t="str">
        <x:v>Quality Owner</x:v>
      </x:c>
      <x:c r="D7" t="str">
        <x:v>QA</x:v>
      </x:c>
      <x:c r="E7" t="str">
        <x:v>online</x:v>
      </x:c>
      <x:c r="F7" t="str">
        <x:v>qa@example.com</x:v>
      </x:c>
      <x:c r="G7" t="str">
        <x:v>tasks;risk;meeting</x:v>
      </x:c>
    </x:row>
    <x:row r="8">
      <x:c r="A8" t="str">
        <x:v>devops</x:v>
      </x:c>
      <x:c r="B8" t="str">
        <x:v>DevOps Lead</x:v>
      </x:c>
      <x:c r="C8" t="str">
        <x:v>Release Owner</x:v>
      </x:c>
      <x:c r="D8" t="str">
        <x:v>DevOps</x:v>
      </x:c>
      <x:c r="E8" t="str">
        <x:v>busy</x:v>
      </x:c>
      <x:c r="F8" t="str">
        <x:v>devops@example.com</x:v>
      </x:c>
      <x:c r="G8" t="str">
        <x:v>admin;integrations;risk</x:v>
      </x:c>
    </x:row>
    <x:row r="9">
      <x:c r="A9" t="str">
        <x:v>cs</x:v>
      </x:c>
      <x:c r="B9" t="str">
        <x:v>CS Manager</x:v>
      </x:c>
      <x:c r="C9" t="str">
        <x:v>SLA Owner</x:v>
      </x:c>
      <x:c r="D9" t="str">
        <x:v>CS</x:v>
      </x:c>
      <x:c r="E9" t="str">
        <x:v>away</x:v>
      </x:c>
      <x:c r="F9" t="str">
        <x:v>cs@example.com</x:v>
      </x:c>
      <x:c r="G9" t="str">
        <x:v>comms;calendar</x:v>
      </x:c>
    </x:row>
    <x:row r="10">
      <x:c r="A10" t="str">
        <x:v>finance</x:v>
      </x:c>
      <x:c r="B10" t="str">
        <x:v>Finance Keeper</x:v>
      </x:c>
      <x:c r="C10" t="str">
        <x:v>Expense Owner</x:v>
      </x:c>
      <x:c r="D10" t="str">
        <x:v>Finance</x:v>
      </x:c>
      <x:c r="E10" t="str">
        <x:v>online</x:v>
      </x:c>
      <x:c r="F10" t="str">
        <x:v>finance@example.com</x:v>
      </x:c>
      <x:c r="G10" t="str">
        <x:v>expenses;kpi;settlement</x:v>
      </x:c>
    </x:row>
    <x:row r="11">
      <x:c r="A11" t="str">
        <x:v>hr</x:v>
      </x:c>
      <x:c r="B11" t="str">
        <x:v>HR Partner</x:v>
      </x:c>
      <x:c r="C11" t="str">
        <x:v>People Ops</x:v>
      </x:c>
      <x:c r="D11" t="str">
        <x:v>HR</x:v>
      </x:c>
      <x:c r="E11" t="str">
        <x:v>online</x:v>
      </x:c>
      <x:c r="F11" t="str">
        <x:v>hr@example.com</x:v>
      </x:c>
      <x:c r="G11" t="str">
        <x:v>postits;calendar</x:v>
      </x:c>
    </x:row>
  </x:sheetData>
  <x:pageMargins left="0.7" right="0.7" top="0.75" bottom="0.75" header="0.3" footer="0.3"/>
  <x:tableParts count="1">
    <x:tablePart xmlns:r="http://schemas.openxmlformats.org/officeDocument/2006/relationships" r:id="R325f39076272462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.110000133514404" hidden="0" customWidth="1"/>
    <x:col min="2" max="2" width="9" hidden="0" customWidth="1"/>
    <x:col min="3" max="3" width="4.559999942779541" hidden="0" customWidth="1"/>
    <x:col min="4" max="4" width="6.670000076293945" hidden="0" customWidth="1"/>
    <x:col min="5" max="5" width="23.329999923706055" hidden="0" customWidth="1"/>
    <x:col min="6" max="6" width="11.890000343322754" hidden="0" customWidth="1"/>
    <x:col min="7" max="7" width="17.559999465942383" hidden="0" customWidth="1"/>
    <x:col min="8" max="8" width="13.779999732971191" hidden="0" customWidth="1"/>
    <x:col min="9" max="9" width="7.889999866485596" hidden="0" customWidth="1"/>
  </x:cols>
  <x:sheetData>
    <x:row r="1">
      <x:c r="A1" s="7" t="str">
        <x:v>id</x:v>
      </x:c>
      <x:c r="B1" s="7" t="str">
        <x:v>date</x:v>
      </x:c>
      <x:c r="C1" s="7" t="str">
        <x:v>time</x:v>
      </x:c>
      <x:c r="D1" s="7" t="str">
        <x:v>type</x:v>
      </x:c>
      <x:c r="E1" s="7" t="str">
        <x:v>title</x:v>
      </x:c>
      <x:c r="F1" s="7" t="str">
        <x:v>owner</x:v>
      </x:c>
      <x:c r="G1" s="7" t="str">
        <x:v>participants</x:v>
      </x:c>
      <x:c r="H1" s="7" t="str">
        <x:v>location</x:v>
      </x:c>
      <x:c r="I1" s="7" t="str">
        <x:v>status</x:v>
      </x:c>
    </x:row>
    <x:row r="2">
      <x:c r="A2" t="n">
        <x:v>1001</x:v>
      </x:c>
      <x:c r="B2" t="str">
        <x:v>2026-05-27</x:v>
      </x:c>
      <x:c r="C2" t="str">
        <x:v>09:30</x:v>
      </x:c>
      <x:c r="D2" t="str">
        <x:v>meeting</x:v>
      </x:c>
      <x:c r="E2" t="str">
        <x:v>최종 제출 대시보드 점검</x:v>
      </x:c>
      <x:c r="F2" t="str">
        <x:v>사지윤</x:v>
      </x:c>
      <x:c r="G2" t="str">
        <x:v>PMO;Frontend;DevOps</x:v>
      </x:c>
      <x:c r="H2" t="str">
        <x:v>온라인</x:v>
      </x:c>
      <x:c r="I2" t="str">
        <x:v>confirmed</x:v>
      </x:c>
    </x:row>
    <x:row r="3">
      <x:c r="A3" t="n">
        <x:v>1002</x:v>
      </x:c>
      <x:c r="B3" t="str">
        <x:v>2026-05-27</x:v>
      </x:c>
      <x:c r="C3" t="str">
        <x:v>13:00</x:v>
      </x:c>
      <x:c r="D3" t="str">
        <x:v>deadline</x:v>
      </x:c>
      <x:c r="E3" t="str">
        <x:v>Railway 환경변수 확인</x:v>
      </x:c>
      <x:c r="F3" t="str">
        <x:v>DevOps Lead</x:v>
      </x:c>
      <x:c r="G3" t="str">
        <x:v>PMO;DevOps</x:v>
      </x:c>
      <x:c r="H3" t="str">
        <x:v>Railway</x:v>
      </x:c>
      <x:c r="I3" t="str">
        <x:v>open</x:v>
      </x:c>
    </x:row>
    <x:row r="4">
      <x:c r="A4" t="n">
        <x:v>1003</x:v>
      </x:c>
      <x:c r="B4" t="str">
        <x:v>2026-05-28</x:v>
      </x:c>
      <x:c r="C4" t="str">
        <x:v>10:00</x:v>
      </x:c>
      <x:c r="D4" t="str">
        <x:v>meeting</x:v>
      </x:c>
      <x:c r="E4" t="str">
        <x:v>공동 경비 Google Sheet 검수</x:v>
      </x:c>
      <x:c r="F4" t="str">
        <x:v>Finance Keeper</x:v>
      </x:c>
      <x:c r="G4" t="str">
        <x:v>Finance;PMO</x:v>
      </x:c>
      <x:c r="H4" t="str">
        <x:v>회의실 A</x:v>
      </x:c>
      <x:c r="I4" t="str">
        <x:v>confirmed</x:v>
      </x:c>
    </x:row>
    <x:row r="5">
      <x:c r="A5" t="n">
        <x:v>1004</x:v>
      </x:c>
      <x:c r="B5" t="str">
        <x:v>2026-05-28</x:v>
      </x:c>
      <x:c r="C5" t="str">
        <x:v>15:30</x:v>
      </x:c>
      <x:c r="D5" t="str">
        <x:v>deploy</x:v>
      </x:c>
      <x:c r="E5" t="str">
        <x:v>GitHub main 브랜치 배포</x:v>
      </x:c>
      <x:c r="F5" t="str">
        <x:v>DevOps Lead</x:v>
      </x:c>
      <x:c r="G5" t="str">
        <x:v>Backend;QA;DevOps</x:v>
      </x:c>
      <x:c r="H5" t="str">
        <x:v>Railway</x:v>
      </x:c>
      <x:c r="I5" t="str">
        <x:v>planned</x:v>
      </x:c>
    </x:row>
    <x:row r="6">
      <x:c r="A6" t="n">
        <x:v>1005</x:v>
      </x:c>
      <x:c r="B6" t="str">
        <x:v>2026-05-29</x:v>
      </x:c>
      <x:c r="C6" t="str">
        <x:v>11:00</x:v>
      </x:c>
      <x:c r="D6" t="str">
        <x:v>meeting</x:v>
      </x:c>
      <x:c r="E6" t="str">
        <x:v>Meeting AI 전사 품질 리뷰</x:v>
      </x:c>
      <x:c r="F6" t="str">
        <x:v>김소연</x:v>
      </x:c>
      <x:c r="G6" t="str">
        <x:v>Frontend;QA;PMO</x:v>
      </x:c>
      <x:c r="H6" t="str">
        <x:v>회의실 B</x:v>
      </x:c>
      <x:c r="I6" t="str">
        <x:v>confirmed</x:v>
      </x:c>
    </x:row>
    <x:row r="7">
      <x:c r="A7" t="n">
        <x:v>1006</x:v>
      </x:c>
      <x:c r="B7" t="str">
        <x:v>2026-05-29</x:v>
      </x:c>
      <x:c r="C7" t="str">
        <x:v>17:00</x:v>
      </x:c>
      <x:c r="D7" t="str">
        <x:v>deadline</x:v>
      </x:c>
      <x:c r="E7" t="str">
        <x:v>일일 결산 Gmail Webhook 테스트</x:v>
      </x:c>
      <x:c r="F7" t="str">
        <x:v>Finance Keeper</x:v>
      </x:c>
      <x:c r="G7" t="str">
        <x:v>Finance;PMO</x:v>
      </x:c>
      <x:c r="H7" t="str">
        <x:v>Gmail Apps Script</x:v>
      </x:c>
      <x:c r="I7" t="str">
        <x:v>open</x:v>
      </x:c>
    </x:row>
    <x:row r="8">
      <x:c r="A8" t="n">
        <x:v>1007</x:v>
      </x:c>
      <x:c r="B8" t="str">
        <x:v>2026-06-01</x:v>
      </x:c>
      <x:c r="C8" t="str">
        <x:v>09:20</x:v>
      </x:c>
      <x:c r="D8" t="str">
        <x:v>meeting</x:v>
      </x:c>
      <x:c r="E8" t="str">
        <x:v>주간 KPI 회고</x:v>
      </x:c>
      <x:c r="F8" t="str">
        <x:v>사지윤</x:v>
      </x:c>
      <x:c r="G8" t="str">
        <x:v>PMO;Finance;CS</x:v>
      </x:c>
      <x:c r="H8" t="str">
        <x:v>온라인</x:v>
      </x:c>
      <x:c r="I8" t="str">
        <x:v>confirmed</x:v>
      </x:c>
    </x:row>
    <x:row r="9">
      <x:c r="A9" t="n">
        <x:v>1008</x:v>
      </x:c>
      <x:c r="B9" t="str">
        <x:v>2026-06-02</x:v>
      </x:c>
      <x:c r="C9" t="str">
        <x:v>14:00</x:v>
      </x:c>
      <x:c r="D9" t="str">
        <x:v>meeting</x:v>
      </x:c>
      <x:c r="E9" t="str">
        <x:v>관리자 권한 공개 범위 시연</x:v>
      </x:c>
      <x:c r="F9" t="str">
        <x:v>사지윤</x:v>
      </x:c>
      <x:c r="G9" t="str">
        <x:v>PMO;HR;DevOps</x:v>
      </x:c>
      <x:c r="H9" t="str">
        <x:v>회의실 A</x:v>
      </x:c>
      <x:c r="I9" t="str">
        <x:v>planned</x:v>
      </x:c>
    </x:row>
  </x:sheetData>
  <x:pageMargins left="0.7" right="0.7" top="0.75" bottom="0.75" header="0.3" footer="0.3"/>
  <x:tableParts count="1">
    <x:tablePart xmlns:r="http://schemas.openxmlformats.org/officeDocument/2006/relationships" r:id="Rfefa9ef8eb01448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0.779999732971191" hidden="0" customWidth="1"/>
    <x:col min="3" max="3" width="8.670000076293945" hidden="0" customWidth="1"/>
    <x:col min="4" max="4" width="8" hidden="0" customWidth="1"/>
  </x:cols>
  <x:sheetData>
    <x:row r="1">
      <x:c r="A1" s="13" t="str">
        <x:v>date</x:v>
      </x:c>
      <x:c r="B1" s="13" t="str">
        <x:v>total_amount</x:v>
      </x:c>
      <x:c r="C1" s="13" t="str">
        <x:v>row_count</x:v>
      </x:c>
      <x:c r="D1" s="13" t="str">
        <x:v>memo</x:v>
      </x:c>
    </x:row>
    <x:row r="2">
      <x:c r="A2" t="str">
        <x:v>2026-05-20</x:v>
      </x:c>
      <x:c r="B2" s="3" t="n">
        <x:v>154000</x:v>
      </x:c>
      <x:c r="C2" t="n">
        <x:v>2</x:v>
      </x:c>
      <x:c r="D2" t="str">
        <x:v>복수 지출일</x:v>
      </x:c>
    </x:row>
    <x:row r="3">
      <x:c r="A3" t="str">
        <x:v>2026-05-21</x:v>
      </x:c>
      <x:c r="B3" s="3" t="n">
        <x:v>180000</x:v>
      </x:c>
      <x:c r="C3" t="n">
        <x:v>1</x:v>
      </x:c>
      <x:c r="D3" t="str">
        <x:v>일반</x:v>
      </x:c>
    </x:row>
    <x:row r="4">
      <x:c r="A4" t="str">
        <x:v>2026-05-22</x:v>
      </x:c>
      <x:c r="B4" s="3" t="n">
        <x:v>95000</x:v>
      </x:c>
      <x:c r="C4" t="n">
        <x:v>1</x:v>
      </x:c>
      <x:c r="D4" t="str">
        <x:v>일반</x:v>
      </x:c>
    </x:row>
    <x:row r="5">
      <x:c r="A5" t="str">
        <x:v>2026-05-23</x:v>
      </x:c>
      <x:c r="B5" s="3" t="n">
        <x:v>42000</x:v>
      </x:c>
      <x:c r="C5" t="n">
        <x:v>1</x:v>
      </x:c>
      <x:c r="D5" t="str">
        <x:v>일반</x:v>
      </x:c>
    </x:row>
    <x:row r="6">
      <x:c r="A6" t="str">
        <x:v>2026-05-24</x:v>
      </x:c>
      <x:c r="B6" s="3" t="n">
        <x:v>360000</x:v>
      </x:c>
      <x:c r="C6" t="n">
        <x:v>1</x:v>
      </x:c>
      <x:c r="D6" t="str">
        <x:v>일반</x:v>
      </x:c>
    </x:row>
    <x:row r="7">
      <x:c r="A7" t="str">
        <x:v>2026-05-25</x:v>
      </x:c>
      <x:c r="B7" s="3" t="n">
        <x:v>214000</x:v>
      </x:c>
      <x:c r="C7" t="n">
        <x:v>1</x:v>
      </x:c>
      <x:c r="D7" t="str">
        <x:v>일반</x:v>
      </x:c>
    </x:row>
    <x:row r="8">
      <x:c r="A8" t="str">
        <x:v>2026-05-26</x:v>
      </x:c>
      <x:c r="B8" s="3" t="n">
        <x:v>58000</x:v>
      </x:c>
      <x:c r="C8" t="n">
        <x:v>1</x:v>
      </x:c>
      <x:c r="D8" t="str">
        <x:v>일반</x:v>
      </x:c>
    </x:row>
    <x:row r="9">
      <x:c r="A9" t="str">
        <x:v>2026-05-27</x:v>
      </x:c>
      <x:c r="B9" s="3" t="n">
        <x:v>288000</x:v>
      </x:c>
      <x:c r="C9" t="n">
        <x:v>2</x:v>
      </x:c>
      <x:c r="D9" t="str">
        <x:v>복수 지출일</x:v>
      </x:c>
    </x:row>
    <x:row r="10">
      <x:c r="A10" t="str">
        <x:v>2026-05-28</x:v>
      </x:c>
      <x:c r="B10" s="3" t="n">
        <x:v>111000</x:v>
      </x:c>
      <x:c r="C10" t="n">
        <x:v>2</x:v>
      </x:c>
      <x:c r="D10" t="str">
        <x:v>복수 지출일</x:v>
      </x:c>
    </x:row>
    <x:row r="11">
      <x:c r="A11" t="str">
        <x:v>2026-05-29</x:v>
      </x:c>
      <x:c r="B11" s="3" t="n">
        <x:v>56000</x:v>
      </x:c>
      <x:c r="C11" t="n">
        <x:v>1</x:v>
      </x:c>
      <x:c r="D11" t="str">
        <x:v>일반</x:v>
      </x:c>
    </x:row>
    <x:row r="12">
      <x:c r="A12" t="str">
        <x:v>2026-05-30</x:v>
      </x:c>
      <x:c r="B12" s="3" t="n">
        <x:v>120000</x:v>
      </x:c>
      <x:c r="C12" t="n">
        <x:v>1</x:v>
      </x:c>
      <x:c r="D12" t="str">
        <x:v>일반</x:v>
      </x:c>
    </x:row>
    <x:row r="13">
      <x:c r="A13" t="str">
        <x:v>2026-05-31</x:v>
      </x:c>
      <x:c r="B13" s="3" t="n">
        <x:v>176000</x:v>
      </x:c>
      <x:c r="C13" t="n">
        <x:v>1</x:v>
      </x:c>
      <x:c r="D13" t="str">
        <x:v>일반</x:v>
      </x:c>
    </x:row>
    <x:row r="14">
      <x:c r="A14" t="str">
        <x:v>2026-06-01</x:v>
      </x:c>
      <x:c r="B14" s="3" t="n">
        <x:v>304000</x:v>
      </x:c>
      <x:c r="C14" t="n">
        <x:v>2</x:v>
      </x:c>
      <x:c r="D14" t="str">
        <x:v>복수 지출일</x:v>
      </x:c>
    </x:row>
    <x:row r="15">
      <x:c r="A15" t="str">
        <x:v>2026-06-02</x:v>
      </x:c>
      <x:c r="B15" s="3" t="n">
        <x:v>31000</x:v>
      </x:c>
      <x:c r="C15" t="n">
        <x:v>1</x:v>
      </x:c>
      <x:c r="D15" t="str">
        <x:v>일반</x:v>
      </x:c>
    </x:row>
  </x:sheetData>
  <x:pageMargins left="0.7" right="0.7" top="0.75" bottom="0.75" header="0.3" footer="0.3"/>
  <x:tableParts count="1">
    <x:tablePart xmlns:r="http://schemas.openxmlformats.org/officeDocument/2006/relationships" r:id="Rf2fc4c1d20e541eb"/>
  </x:tableParts>
</x:worksheet>
</file>